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Scenario Grid" sheetId="2" state="visible" r:id="rId2"/>
    <sheet xmlns:r="http://schemas.openxmlformats.org/officeDocument/2006/relationships" name="Fall 2025 Data" sheetId="3" state="visible" r:id="rId3"/>
    <sheet xmlns:r="http://schemas.openxmlformats.org/officeDocument/2006/relationships" name="BOD Bundle Mat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&quot;#,##0.00"/>
    <numFmt numFmtId="165" formatCode="&quot;$&quot;#,##0"/>
    <numFmt numFmtId="166" formatCode="&quot;+$&quot;#,##0"/>
  </numFmts>
  <fonts count="11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2"/>
    </font>
    <font>
      <name val="Calibri"/>
      <b val="1"/>
      <color rgb="00CC835C"/>
      <sz val="14"/>
    </font>
    <font>
      <name val="Calibri"/>
      <b val="1"/>
      <color rgb="00CC835C"/>
      <sz val="11"/>
    </font>
    <font>
      <name val="Calibri"/>
      <b val="1"/>
      <sz val="11"/>
    </font>
    <font>
      <name val="Calibri"/>
      <b val="1"/>
      <color rgb="004A7C59"/>
      <sz val="12"/>
    </font>
    <font>
      <name val="Calibri"/>
      <b val="1"/>
      <color rgb="004A7C59"/>
      <sz val="11"/>
    </font>
  </fonts>
  <fills count="5">
    <fill>
      <patternFill/>
    </fill>
    <fill>
      <patternFill patternType="gray125"/>
    </fill>
    <fill>
      <patternFill patternType="solid">
        <fgColor rgb="00CC835C"/>
        <bgColor rgb="00CC835C"/>
      </patternFill>
    </fill>
    <fill>
      <patternFill patternType="solid">
        <fgColor rgb="00FFF4D6"/>
        <bgColor rgb="00FFF4D6"/>
      </patternFill>
    </fill>
    <fill>
      <patternFill patternType="solid">
        <fgColor rgb="00D4EDDA"/>
        <bgColor rgb="00D4ED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1" pivotButton="0" quotePrefix="0" xfId="0"/>
    <xf numFmtId="164" fontId="5" fillId="3" borderId="1" applyAlignment="1" pivotButton="0" quotePrefix="0" xfId="0">
      <alignment horizontal="right"/>
    </xf>
    <xf numFmtId="3" fontId="5" fillId="3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1" pivotButton="0" quotePrefix="0" xfId="0"/>
    <xf numFmtId="165" fontId="6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8" fillId="0" borderId="0" pivotButton="0" quotePrefix="0" xfId="0"/>
    <xf numFmtId="166" fontId="9" fillId="0" borderId="0" pivotButton="0" quotePrefix="0" xfId="0"/>
    <xf numFmtId="0" fontId="3" fillId="2" borderId="1" applyAlignment="1" pivotButton="0" quotePrefix="0" xfId="0">
      <alignment horizontal="center"/>
    </xf>
    <xf numFmtId="165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10" fillId="4" borderId="1" applyAlignment="1" pivotButton="0" quotePrefix="0" xfId="0">
      <alignment horizontal="right"/>
    </xf>
    <xf numFmtId="0" fontId="3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40" customWidth="1" min="3" max="3"/>
    <col width="10" customWidth="1" min="4" max="4"/>
  </cols>
  <sheetData>
    <row r="1">
      <c r="A1" s="1" t="inlineStr">
        <is>
          <t>FYP VIP Revenue Calculator — Play With The Numbers</t>
        </is>
      </c>
    </row>
    <row r="2">
      <c r="A2" s="2" t="inlineStr">
        <is>
          <t>Change the yellow cells. Everything else recalculates. Test any scenario.</t>
        </is>
      </c>
    </row>
    <row r="4">
      <c r="A4" s="3" t="inlineStr">
        <is>
          <t>YOUR ASSUMPTIONS</t>
        </is>
      </c>
    </row>
    <row r="5">
      <c r="A5" s="4" t="inlineStr">
        <is>
          <t>VIP Price ($)</t>
        </is>
      </c>
      <c r="B5" s="5" t="n">
        <v>17</v>
      </c>
    </row>
    <row r="6">
      <c r="A6" s="4" t="inlineStr">
        <is>
          <t>VIP Units Sold</t>
        </is>
      </c>
      <c r="B6" s="6" t="n">
        <v>2000</v>
      </c>
    </row>
    <row r="7">
      <c r="A7" s="4" t="inlineStr">
        <is>
          <t>VIP → SOD Conversion Rate (%)</t>
        </is>
      </c>
      <c r="B7" s="7" t="n">
        <v>0.051</v>
      </c>
    </row>
    <row r="8">
      <c r="A8" s="4" t="inlineStr">
        <is>
          <t>SOD Avg Order Value ($)</t>
        </is>
      </c>
      <c r="B8" s="8" t="n">
        <v>730</v>
      </c>
    </row>
    <row r="10">
      <c r="A10" s="3" t="inlineStr">
        <is>
          <t>YOUR PROJECTED RESULTS</t>
        </is>
      </c>
    </row>
    <row r="11">
      <c r="A11" s="4" t="inlineStr">
        <is>
          <t>VIP Tripwire Revenue</t>
        </is>
      </c>
      <c r="B11" s="9">
        <f>B5*B6</f>
        <v/>
      </c>
    </row>
    <row r="12">
      <c r="A12" s="4" t="inlineStr">
        <is>
          <t>Expected SOD Sales (from VIP buyers)</t>
        </is>
      </c>
      <c r="B12" s="10">
        <f>B6*B7</f>
        <v/>
      </c>
    </row>
    <row r="13">
      <c r="A13" s="4" t="inlineStr">
        <is>
          <t>Attributable SOD Revenue</t>
        </is>
      </c>
      <c r="B13" s="9">
        <f>B6*B7*B8</f>
        <v/>
      </c>
    </row>
    <row r="14">
      <c r="A14" s="11" t="inlineStr">
        <is>
          <t>TOTAL CHALLENGE REVENUE</t>
        </is>
      </c>
      <c r="B14" s="12">
        <f>B11+B13</f>
        <v/>
      </c>
    </row>
    <row r="16">
      <c r="A16" s="3" t="inlineStr">
        <is>
          <t>BASELINE: FALL 2025 ACTUAL ($5 TRIPWIRE)</t>
        </is>
      </c>
    </row>
    <row r="17">
      <c r="A17" s="4" t="inlineStr">
        <is>
          <t>VIP Price (actual)</t>
        </is>
      </c>
      <c r="B17" s="13" t="inlineStr">
        <is>
          <t>$5</t>
        </is>
      </c>
    </row>
    <row r="18">
      <c r="A18" s="4" t="inlineStr">
        <is>
          <t>VIP Units (actual)</t>
        </is>
      </c>
      <c r="B18" s="13" t="inlineStr">
        <is>
          <t>2,016</t>
        </is>
      </c>
    </row>
    <row r="19">
      <c r="A19" s="4" t="inlineStr">
        <is>
          <t>VIP Revenue (actual)</t>
        </is>
      </c>
      <c r="B19" s="13" t="inlineStr">
        <is>
          <t>$10,110</t>
        </is>
      </c>
    </row>
    <row r="20">
      <c r="A20" s="4" t="inlineStr">
        <is>
          <t>VIP → SOD Conv Rate (actual)</t>
        </is>
      </c>
      <c r="B20" s="13" t="inlineStr">
        <is>
          <t>5.11%</t>
        </is>
      </c>
      <c r="C20" s="2" t="inlineStr">
        <is>
          <t>103 of 2,016 bought SOD</t>
        </is>
      </c>
    </row>
    <row r="21">
      <c r="A21" s="4" t="inlineStr">
        <is>
          <t>Attributable SOD Revenue (actual)</t>
        </is>
      </c>
      <c r="B21" s="13" t="inlineStr">
        <is>
          <t>$75,262</t>
        </is>
      </c>
    </row>
    <row r="22">
      <c r="A22" s="4" t="inlineStr">
        <is>
          <t>TOTAL FALL 2025 REVENUE</t>
        </is>
      </c>
      <c r="B22" s="14" t="inlineStr">
        <is>
          <t>$85,372</t>
        </is>
      </c>
    </row>
    <row r="24">
      <c r="A24" s="15" t="inlineStr">
        <is>
          <t>Revenue LIFT vs. Fall 2025:</t>
        </is>
      </c>
      <c r="B24" s="16">
        <f>B14-85372</f>
        <v/>
      </c>
    </row>
  </sheetData>
  <mergeCells count="5">
    <mergeCell ref="A1:D1"/>
    <mergeCell ref="A4:D4"/>
    <mergeCell ref="A2:D2"/>
    <mergeCell ref="A16:D16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Revenue at Every Scenario</t>
        </is>
      </c>
    </row>
    <row r="2">
      <c r="A2" s="2" t="inlineStr">
        <is>
          <t>Every combination of price + units + SOD conversion. Find where your comfort zone lands.</t>
        </is>
      </c>
    </row>
    <row r="4">
      <c r="A4" s="17" t="inlineStr">
        <is>
          <t>Price</t>
        </is>
      </c>
      <c r="B4" s="17" t="inlineStr">
        <is>
          <t>VIP Units</t>
        </is>
      </c>
      <c r="C4" s="17" t="inlineStr">
        <is>
          <t>VIP Revenue</t>
        </is>
      </c>
      <c r="D4" s="17" t="inlineStr">
        <is>
          <t>Total @ 5.1% SOD</t>
        </is>
      </c>
      <c r="E4" s="17" t="inlineStr">
        <is>
          <t>Total @ 4.0% SOD</t>
        </is>
      </c>
      <c r="F4" s="17" t="inlineStr">
        <is>
          <t>Total @ 3.5% SOD</t>
        </is>
      </c>
      <c r="G4" s="17" t="inlineStr">
        <is>
          <t>Total @ 2.5% SOD</t>
        </is>
      </c>
    </row>
    <row r="5">
      <c r="A5" s="18" t="n">
        <v>5</v>
      </c>
      <c r="B5" s="19" t="n">
        <v>2000</v>
      </c>
      <c r="C5" s="20">
        <f>A5*B5</f>
        <v/>
      </c>
      <c r="D5" s="20">
        <f>C5+B5*0.051*730</f>
        <v/>
      </c>
      <c r="E5" s="20">
        <f>C5+B5*0.04*730</f>
        <v/>
      </c>
      <c r="F5" s="20">
        <f>C5+B5*0.035*730</f>
        <v/>
      </c>
      <c r="G5" s="20">
        <f>C5+B5*0.025*730</f>
        <v/>
      </c>
    </row>
    <row r="6">
      <c r="A6" s="18" t="n">
        <v>7</v>
      </c>
      <c r="B6" s="19" t="n">
        <v>2000</v>
      </c>
      <c r="C6" s="20">
        <f>A6*B6</f>
        <v/>
      </c>
      <c r="D6" s="20">
        <f>C6+B6*0.051*730</f>
        <v/>
      </c>
      <c r="E6" s="20">
        <f>C6+B6*0.04*730</f>
        <v/>
      </c>
      <c r="F6" s="20">
        <f>C6+B6*0.035*730</f>
        <v/>
      </c>
      <c r="G6" s="20">
        <f>C6+B6*0.025*730</f>
        <v/>
      </c>
    </row>
    <row r="7">
      <c r="A7" s="18" t="n">
        <v>17</v>
      </c>
      <c r="B7" s="19" t="n">
        <v>2000</v>
      </c>
      <c r="C7" s="20">
        <f>A7*B7</f>
        <v/>
      </c>
      <c r="D7" s="21">
        <f>C7+B7*0.051*730</f>
        <v/>
      </c>
      <c r="E7" s="20">
        <f>C7+B7*0.04*730</f>
        <v/>
      </c>
      <c r="F7" s="20">
        <f>C7+B7*0.035*730</f>
        <v/>
      </c>
      <c r="G7" s="20">
        <f>C7+B7*0.025*730</f>
        <v/>
      </c>
    </row>
    <row r="8">
      <c r="A8" s="18" t="n">
        <v>17</v>
      </c>
      <c r="B8" s="19" t="n">
        <v>1700</v>
      </c>
      <c r="C8" s="20">
        <f>A8*B8</f>
        <v/>
      </c>
      <c r="D8" s="20">
        <f>C8+B8*0.051*730</f>
        <v/>
      </c>
      <c r="E8" s="20">
        <f>C8+B8*0.04*730</f>
        <v/>
      </c>
      <c r="F8" s="20">
        <f>C8+B8*0.035*730</f>
        <v/>
      </c>
      <c r="G8" s="20">
        <f>C8+B8*0.025*730</f>
        <v/>
      </c>
    </row>
    <row r="9">
      <c r="A9" s="18" t="n">
        <v>17</v>
      </c>
      <c r="B9" s="19" t="n">
        <v>1400</v>
      </c>
      <c r="C9" s="20">
        <f>A9*B9</f>
        <v/>
      </c>
      <c r="D9" s="20">
        <f>C9+B9*0.051*730</f>
        <v/>
      </c>
      <c r="E9" s="20">
        <f>C9+B9*0.04*730</f>
        <v/>
      </c>
      <c r="F9" s="20">
        <f>C9+B9*0.035*730</f>
        <v/>
      </c>
      <c r="G9" s="20">
        <f>C9+B9*0.025*730</f>
        <v/>
      </c>
    </row>
    <row r="10">
      <c r="A10" s="18" t="n">
        <v>27</v>
      </c>
      <c r="B10" s="19" t="n">
        <v>1600</v>
      </c>
      <c r="C10" s="20">
        <f>A10*B10</f>
        <v/>
      </c>
      <c r="D10" s="20">
        <f>C10+B10*0.051*730</f>
        <v/>
      </c>
      <c r="E10" s="20">
        <f>C10+B10*0.04*730</f>
        <v/>
      </c>
      <c r="F10" s="20">
        <f>C10+B10*0.035*730</f>
        <v/>
      </c>
      <c r="G10" s="20">
        <f>C10+B10*0.025*730</f>
        <v/>
      </c>
    </row>
    <row r="12">
      <c r="A12" s="2" t="inlineStr">
        <is>
          <t>Highlighted = our target case (matches Fall 2025 volume + conversion). All other scenarios shown for comparison.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48" customWidth="1" min="3" max="3"/>
  </cols>
  <sheetData>
    <row r="1">
      <c r="A1" s="1" t="inlineStr">
        <is>
          <t>Fall 2025 VIP → SOD Conversion (ThriveCart actuals)</t>
        </is>
      </c>
    </row>
    <row r="2">
      <c r="A2" s="2" t="inlineStr">
        <is>
          <t>The tripwire's real job: qualify buyers for SOD. 7.1× multiplier vs non-VIP.</t>
        </is>
      </c>
    </row>
    <row r="4">
      <c r="A4" s="22" t="inlineStr">
        <is>
          <t>Metric</t>
        </is>
      </c>
      <c r="B4" s="22" t="inlineStr">
        <is>
          <t>Value</t>
        </is>
      </c>
      <c r="C4" s="22" t="inlineStr">
        <is>
          <t>Notes</t>
        </is>
      </c>
    </row>
    <row r="5">
      <c r="A5" s="23" t="inlineStr">
        <is>
          <t>Total challenge registrations</t>
        </is>
      </c>
      <c r="B5" s="24" t="inlineStr">
        <is>
          <t>17,212</t>
        </is>
      </c>
      <c r="C5" s="23" t="inlineStr">
        <is>
          <t>Fall 2025</t>
        </is>
      </c>
    </row>
    <row r="6">
      <c r="A6" s="23" t="inlineStr">
        <is>
          <t>$5 VIP tripwire buyers</t>
        </is>
      </c>
      <c r="B6" s="24" t="inlineStr">
        <is>
          <t>2,016</t>
        </is>
      </c>
      <c r="C6" s="23" t="inlineStr">
        <is>
          <t>Pulled from ThriveCart</t>
        </is>
      </c>
    </row>
    <row r="7">
      <c r="A7" s="23" t="inlineStr">
        <is>
          <t>VIP revenue</t>
        </is>
      </c>
      <c r="B7" s="24" t="inlineStr">
        <is>
          <t>$10,110</t>
        </is>
      </c>
      <c r="C7" s="23" t="inlineStr">
        <is>
          <t>2,022 transactions</t>
        </is>
      </c>
    </row>
    <row r="8">
      <c r="A8" s="23" t="inlineStr">
        <is>
          <t>VIP → SOD conversion rate</t>
        </is>
      </c>
      <c r="B8" s="24" t="inlineStr">
        <is>
          <t>5.11%</t>
        </is>
      </c>
      <c r="C8" s="23" t="inlineStr">
        <is>
          <t>103 of 2,016 VIP buyers bought SOD</t>
        </is>
      </c>
    </row>
    <row r="9">
      <c r="A9" s="23" t="inlineStr">
        <is>
          <t>Non-VIP → SOD conversion rate</t>
        </is>
      </c>
      <c r="B9" s="24" t="inlineStr">
        <is>
          <t>0.72%</t>
        </is>
      </c>
      <c r="C9" s="23" t="inlineStr">
        <is>
          <t>109 of 15,196 non-VIP regs</t>
        </is>
      </c>
    </row>
    <row r="10">
      <c r="A10" s="23" t="inlineStr">
        <is>
          <t>Multiplier</t>
        </is>
      </c>
      <c r="B10" s="24" t="inlineStr">
        <is>
          <t>7.1×</t>
        </is>
      </c>
      <c r="C10" s="23" t="inlineStr">
        <is>
          <t>VIP buyers were 7× more likely to buy SOD</t>
        </is>
      </c>
    </row>
    <row r="11">
      <c r="A11" s="23" t="inlineStr">
        <is>
          <t>SOD revenue attributable to VIP</t>
        </is>
      </c>
      <c r="B11" s="24" t="inlineStr">
        <is>
          <t>$75,262</t>
        </is>
      </c>
      <c r="C11" s="23" t="inlineStr">
        <is>
          <t>From 103 cross-buyers</t>
        </is>
      </c>
    </row>
    <row r="12">
      <c r="A12" s="23" t="inlineStr">
        <is>
          <t>Cost to acquire an SOD buyer via VIP</t>
        </is>
      </c>
      <c r="B12" s="24" t="inlineStr">
        <is>
          <t>$98</t>
        </is>
      </c>
      <c r="C12" s="23" t="inlineStr">
        <is>
          <t>Effectively free (tripwire covers fees)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48" customWidth="1" min="3" max="3"/>
  </cols>
  <sheetData>
    <row r="1">
      <c r="A1" s="1" t="inlineStr">
        <is>
          <t>BOD Bundle Economics — Why Include in VIP</t>
        </is>
      </c>
    </row>
    <row r="2">
      <c r="A2" s="2" t="inlineStr">
        <is>
          <t>BOD is under-selling. Bundling it with VIP turns dead inventory into a primer for SOD.</t>
        </is>
      </c>
    </row>
    <row r="4">
      <c r="A4" s="22" t="inlineStr">
        <is>
          <t>Metric</t>
        </is>
      </c>
      <c r="B4" s="22" t="inlineStr">
        <is>
          <t>Value</t>
        </is>
      </c>
      <c r="C4" s="22" t="inlineStr">
        <is>
          <t>Notes</t>
        </is>
      </c>
    </row>
    <row r="5">
      <c r="A5" s="23" t="inlineStr">
        <is>
          <t>Lifetime BOD buyers (all time)</t>
        </is>
      </c>
      <c r="B5" s="24" t="inlineStr">
        <is>
          <t>216</t>
        </is>
      </c>
      <c r="C5" s="23" t="inlineStr">
        <is>
          <t>At $197 list</t>
        </is>
      </c>
    </row>
    <row r="6">
      <c r="A6" s="23" t="inlineStr">
        <is>
          <t>BOD buyers before Nov 2025</t>
        </is>
      </c>
      <c r="B6" s="24" t="inlineStr">
        <is>
          <t>145</t>
        </is>
      </c>
      <c r="C6" s="23" t="inlineStr"/>
    </row>
    <row r="7">
      <c r="A7" s="23" t="inlineStr">
        <is>
          <t>BOD buyers after Fall 2025 challenge</t>
        </is>
      </c>
      <c r="B7" s="24" t="inlineStr">
        <is>
          <t>71</t>
        </is>
      </c>
      <c r="C7" s="23" t="inlineStr">
        <is>
          <t>~24/month pace</t>
        </is>
      </c>
    </row>
    <row r="8">
      <c r="A8" s="23" t="inlineStr">
        <is>
          <t>BOD monthly revenue pace</t>
        </is>
      </c>
      <c r="B8" s="24" t="inlineStr">
        <is>
          <t>~$2-4K</t>
        </is>
      </c>
      <c r="C8" s="23" t="inlineStr">
        <is>
          <t>Not moving the needle</t>
        </is>
      </c>
    </row>
    <row r="9">
      <c r="A9" s="23" t="inlineStr">
        <is>
          <t>BOD → SOD conversion (lifetime)</t>
        </is>
      </c>
      <c r="B9" s="24" t="inlineStr">
        <is>
          <t>4.6%</t>
        </is>
      </c>
      <c r="C9" s="23" t="inlineStr">
        <is>
          <t>Similar to VIP's 5.1%</t>
        </is>
      </c>
    </row>
    <row r="10">
      <c r="A10" s="23" t="inlineStr">
        <is>
          <t>VIP &amp; BOD buyer overlap</t>
        </is>
      </c>
      <c r="B10" s="24" t="inlineStr">
        <is>
          <t>29</t>
        </is>
      </c>
      <c r="C10" s="23" t="inlineStr">
        <is>
          <t>Different audiences — no cannibalization</t>
        </is>
      </c>
    </row>
    <row r="11">
      <c r="A11" s="23" t="inlineStr">
        <is>
          <t>Marginal cost to deliver BOD</t>
        </is>
      </c>
      <c r="B11" s="24" t="inlineStr">
        <is>
          <t>$0</t>
        </is>
      </c>
      <c r="C11" s="23" t="inlineStr">
        <is>
          <t>Evergreen / prerecorded</t>
        </is>
      </c>
    </row>
    <row r="12">
      <c r="A12" s="25" t="inlineStr">
        <is>
          <t>Verdict on bundling</t>
        </is>
      </c>
      <c r="B12" s="26" t="inlineStr">
        <is>
          <t>GO</t>
        </is>
      </c>
      <c r="C12" s="25" t="inlineStr">
        <is>
          <t>Dead inventory → SOD primer. Pure upside.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2026-04-22T17:24:37Z</dcterms:created>
  <dcterms:modified xmlns:dcterms="http://purl.org/dc/terms/" xmlns:xsi="http://www.w3.org/2001/XMLSchema-instance" xsi:type="dcterms:W3CDTF">2026-04-22T17:24:37Z</dcterms:modified>
</cp:coreProperties>
</file>